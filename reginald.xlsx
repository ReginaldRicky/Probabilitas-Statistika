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-SI\Downloads\"/>
    </mc:Choice>
  </mc:AlternateContent>
  <xr:revisionPtr revIDLastSave="0" documentId="13_ncr:1_{67EBD6BB-C1B8-4B5D-ABD3-927885E1667C}" xr6:coauthVersionLast="47" xr6:coauthVersionMax="47" xr10:uidLastSave="{00000000-0000-0000-0000-000000000000}"/>
  <bookViews>
    <workbookView xWindow="-108" yWindow="-108" windowWidth="23256" windowHeight="12456" xr2:uid="{F53FAF3E-5B64-42D0-B576-A0DE603505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3" i="1" l="1"/>
  <c r="G11" i="1"/>
  <c r="H11" i="1" s="1"/>
  <c r="G10" i="1"/>
  <c r="G9" i="1"/>
  <c r="H9" i="1" s="1"/>
  <c r="G12" i="1"/>
  <c r="H12" i="1" s="1"/>
  <c r="G13" i="1"/>
  <c r="G14" i="1"/>
  <c r="H14" i="1" s="1"/>
  <c r="G15" i="1"/>
  <c r="H15" i="1" s="1"/>
  <c r="G16" i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P21" i="1" l="1"/>
  <c r="P19" i="1"/>
  <c r="P20" i="1"/>
  <c r="P16" i="1"/>
  <c r="H16" i="1"/>
  <c r="H10" i="1"/>
  <c r="P17" i="1"/>
  <c r="P18" i="1"/>
  <c r="Q18" i="1" s="1"/>
  <c r="Q20" i="1" l="1"/>
  <c r="Q17" i="1"/>
  <c r="Q16" i="1"/>
  <c r="Q19" i="1"/>
  <c r="Q21" i="1"/>
</calcChain>
</file>

<file path=xl/sharedStrings.xml><?xml version="1.0" encoding="utf-8"?>
<sst xmlns="http://schemas.openxmlformats.org/spreadsheetml/2006/main" count="73" uniqueCount="72">
  <si>
    <t>Excel Sample Data</t>
  </si>
  <si>
    <t>Students Marksheet Data</t>
  </si>
  <si>
    <t>ID</t>
  </si>
  <si>
    <t>Name</t>
  </si>
  <si>
    <t>Marks in Quiz
 (Out of 100)</t>
  </si>
  <si>
    <t>Mid Term Results (Out of 100)</t>
  </si>
  <si>
    <t>Final Term Resul  (Out of 100)</t>
  </si>
  <si>
    <t>Final Score</t>
  </si>
  <si>
    <t>Grade</t>
  </si>
  <si>
    <t>John Doe</t>
  </si>
  <si>
    <t>Jane Smith</t>
  </si>
  <si>
    <t>Michael Johnson</t>
  </si>
  <si>
    <t>Emily Brown</t>
  </si>
  <si>
    <t>Daniel Martinez</t>
  </si>
  <si>
    <t>Sarah Wilson</t>
  </si>
  <si>
    <t>David Garcia</t>
  </si>
  <si>
    <t>Jessica Lee</t>
  </si>
  <si>
    <t>Matthew Davis</t>
  </si>
  <si>
    <t>Jennifer Rodriguez</t>
  </si>
  <si>
    <t>Andrew Taylor</t>
  </si>
  <si>
    <t>Amanda Hernandez</t>
  </si>
  <si>
    <t>Christopher Clark</t>
  </si>
  <si>
    <t>Elizabeth Martinez</t>
  </si>
  <si>
    <t>William Anderson</t>
  </si>
  <si>
    <t>Sophia Thomas</t>
  </si>
  <si>
    <t>James White</t>
  </si>
  <si>
    <t>Olivia Taylor</t>
  </si>
  <si>
    <t>Benjamin Wilson</t>
  </si>
  <si>
    <t>Emma Garcia</t>
  </si>
  <si>
    <t>Alexander Davis</t>
  </si>
  <si>
    <t>Mia Moore</t>
  </si>
  <si>
    <t>Ethan Jackson</t>
  </si>
  <si>
    <t>Isabella Brown</t>
  </si>
  <si>
    <t>Noah Taylor</t>
  </si>
  <si>
    <t>Abigail Johnson</t>
  </si>
  <si>
    <t>Logan Martinez</t>
  </si>
  <si>
    <t>Avery Clark</t>
  </si>
  <si>
    <t>Jacob Thompson</t>
  </si>
  <si>
    <t>Samantha Harris</t>
  </si>
  <si>
    <t>Reginald Ricky</t>
  </si>
  <si>
    <t>Score</t>
  </si>
  <si>
    <t>Frequency</t>
  </si>
  <si>
    <t>percentage</t>
  </si>
  <si>
    <t>0-50</t>
  </si>
  <si>
    <t>F</t>
  </si>
  <si>
    <t>51-60</t>
  </si>
  <si>
    <t>C</t>
  </si>
  <si>
    <t>61-65</t>
  </si>
  <si>
    <t>BC</t>
  </si>
  <si>
    <t>66-75</t>
  </si>
  <si>
    <t>B</t>
  </si>
  <si>
    <t>76-80</t>
  </si>
  <si>
    <t>AB</t>
  </si>
  <si>
    <t>81-100</t>
  </si>
  <si>
    <t>A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</si>
  <si>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</si>
  <si>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</si>
  <si>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</si>
  <si>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</si>
  <si>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</si>
  <si>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</si>
  <si>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</si>
  <si>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</si>
  <si>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</si>
  <si>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</si>
  <si>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</si>
  <si>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</si>
  <si>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</si>
  <si>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</si>
  <si>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Nama : Reginald Ricky</t>
  </si>
  <si>
    <t>Kelas : 3 TI D</t>
  </si>
  <si>
    <t>NIM : 2455301166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</si>
</sst>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rgb="FF272760"/>
      <name val="Calibri"/>
      <family val="2"/>
    </font>
    <font>
      <sz val="11"/>
      <color theme="1"/>
      <name val="Poppins"/>
    </font>
    <font>
      <b/>
      <sz val="12"/>
      <color rgb="FFFFFFFF"/>
      <name val="Poppins"/>
    </font>
    <font>
      <sz val="11"/>
      <color rgb="FF000000"/>
      <name val="Poppins"/>
    </font>
    <font>
      <i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Continuous" vertical="center"/>
    </xf>
    <xf numFmtId="0" fontId="3" fillId="5" borderId="4" xfId="0" applyFont="1" applyFill="1" applyBorder="1"/>
    <xf numFmtId="0" fontId="3" fillId="5" borderId="4" xfId="0" applyFont="1" applyFill="1" applyBorder="1" applyAlignment="1">
      <alignment horizontal="center"/>
    </xf>
    <xf numFmtId="9" fontId="3" fillId="5" borderId="4" xfId="0" applyNumberFormat="1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1" fontId="5" fillId="0" borderId="2" xfId="0" applyNumberFormat="1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0" fillId="8" borderId="4" xfId="0" applyFill="1" applyBorder="1"/>
    <xf numFmtId="0" fontId="3" fillId="4" borderId="3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6" fillId="7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Sheet1!$O$16:$O$21</c:f>
              <c:strCache>
                <c:ptCount val="6"/>
                <c:pt idx="0">
                  <c:v>F</c:v>
                </c:pt>
                <c:pt idx="1">
                  <c:v>C</c:v>
                </c:pt>
                <c:pt idx="2">
                  <c:v>BC</c:v>
                </c:pt>
                <c:pt idx="3">
                  <c:v>B</c:v>
                </c:pt>
                <c:pt idx="4">
                  <c:v>AB</c:v>
                </c:pt>
                <c:pt idx="5">
                  <c:v>A</c:v>
                </c:pt>
              </c:strCache>
            </c:strRef>
          </c:cat>
          <c:val>
            <c:numRef>
              <c:f>Sheet1!$P$16:$P$21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86-442E-85E2-C76B916C9E0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78047168"/>
        <c:axId val="1647362576"/>
      </c:barChart>
      <c:catAx>
        <c:axId val="197804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362576"/>
        <c:crosses val="autoZero"/>
        <c:auto val="1"/>
        <c:lblAlgn val="ctr"/>
        <c:lblOffset val="100"/>
        <c:noMultiLvlLbl val="0"/>
      </c:catAx>
      <c:valAx>
        <c:axId val="164736257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7804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Sheet1!$O$16:$O$21</c:f>
              <c:strCache>
                <c:ptCount val="6"/>
                <c:pt idx="0">
                  <c:v>F</c:v>
                </c:pt>
                <c:pt idx="1">
                  <c:v>C</c:v>
                </c:pt>
                <c:pt idx="2">
                  <c:v>BC</c:v>
                </c:pt>
                <c:pt idx="3">
                  <c:v>B</c:v>
                </c:pt>
                <c:pt idx="4">
                  <c:v>AB</c:v>
                </c:pt>
                <c:pt idx="5">
                  <c:v>A</c:v>
                </c:pt>
              </c:strCache>
            </c:strRef>
          </c:cat>
          <c:val>
            <c:numRef>
              <c:f>Sheet1!$P$16:$P$21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26-4033-ABF1-B45308F43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8060160"/>
        <c:axId val="1647357296"/>
      </c:lineChart>
      <c:catAx>
        <c:axId val="197806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357296"/>
        <c:crosses val="autoZero"/>
        <c:auto val="1"/>
        <c:lblAlgn val="ctr"/>
        <c:lblOffset val="100"/>
        <c:noMultiLvlLbl val="0"/>
      </c:catAx>
      <c:valAx>
        <c:axId val="164735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06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1111111111111109E-2"/>
          <c:y val="0.3244907407407408"/>
          <c:w val="0.93888888888888888"/>
          <c:h val="0.671457786526684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280A-43C1-A358-4CE3959BEED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280A-43C1-A358-4CE3959BEED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280A-43C1-A358-4CE3959BEED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280A-43C1-A358-4CE3959BEED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280A-43C1-A358-4CE3959BEED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280A-43C1-A358-4CE3959BEED6}"/>
              </c:ext>
            </c:extLst>
          </c:dPt>
          <c:cat>
            <c:strRef>
              <c:f>Sheet1!$O$16:$O$21</c:f>
              <c:strCache>
                <c:ptCount val="6"/>
                <c:pt idx="0">
                  <c:v>F</c:v>
                </c:pt>
                <c:pt idx="1">
                  <c:v>C</c:v>
                </c:pt>
                <c:pt idx="2">
                  <c:v>BC</c:v>
                </c:pt>
                <c:pt idx="3">
                  <c:v>B</c:v>
                </c:pt>
                <c:pt idx="4">
                  <c:v>AB</c:v>
                </c:pt>
                <c:pt idx="5">
                  <c:v>A</c:v>
                </c:pt>
              </c:strCache>
            </c:strRef>
          </c:cat>
          <c:val>
            <c:numRef>
              <c:f>Sheet1!$Q$16:$Q$21</c:f>
              <c:numCache>
                <c:formatCode>0%</c:formatCode>
                <c:ptCount val="6"/>
                <c:pt idx="0">
                  <c:v>6.25E-2</c:v>
                </c:pt>
                <c:pt idx="1">
                  <c:v>0.3125</c:v>
                </c:pt>
                <c:pt idx="2">
                  <c:v>6.25E-2</c:v>
                </c:pt>
                <c:pt idx="3">
                  <c:v>0.25</c:v>
                </c:pt>
                <c:pt idx="4">
                  <c:v>0.3125</c:v>
                </c:pt>
                <c:pt idx="5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46-4B7A-A92F-AA527B2A5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522514</xdr:colOff>
      <xdr:row>24</xdr:row>
      <xdr:rowOff>168728</xdr:rowOff>
    </xdr:from>
    <xdr:to>
      <xdr:col>18</xdr:col>
      <xdr:colOff>217714</xdr:colOff>
      <xdr:row>39</xdr:row>
      <xdr:rowOff>136071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D4B99B-7E44-104C-DE86-10EF1D15BF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500742</xdr:colOff>
      <xdr:row>10</xdr:row>
      <xdr:rowOff>125186</xdr:rowOff>
    </xdr:from>
    <xdr:to>
      <xdr:col>27</xdr:col>
      <xdr:colOff>195942</xdr:colOff>
      <xdr:row>25</xdr:row>
      <xdr:rowOff>92529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02D1D3-EC60-B59E-0248-CB30BF3C1C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370114</xdr:colOff>
      <xdr:row>26</xdr:row>
      <xdr:rowOff>146957</xdr:rowOff>
    </xdr:from>
    <xdr:to>
      <xdr:col>27</xdr:col>
      <xdr:colOff>65314</xdr:colOff>
      <xdr:row>41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E31449-6F79-4B5C-BCAA-EB0D66CD76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9F195-3BC1-4E94-854F-B40CECF84EB4}">
  <dimension ref="A2:Q59"/>
  <sheetViews>
    <sheetView tabSelected="1" zoomScale="70" workbookViewId="0">
      <selection activeCell="H13" sqref="H13"/>
    </sheetView>
  </sheetViews>
  <sheetFormatPr defaultRowHeight="14.4" x14ac:dyDescent="0.3"/>
  <cols>
    <col min="1" max="1" width="3.5546875" style="1" customWidth="1"/>
    <col min="2" max="2" width="22.33203125" style="1" customWidth="1"/>
    <col min="3" max="3" width="18.5546875" style="1" bestFit="1" customWidth="1"/>
    <col min="4" max="4" width="21.109375" style="1" customWidth="1"/>
    <col min="5" max="5" width="18.33203125" style="1" customWidth="1"/>
    <col min="6" max="7" width="21.88671875" style="1" customWidth="1"/>
    <col min="8" max="8" width="15.44140625" style="1" customWidth="1"/>
    <col min="9" max="9" width="21.88671875" style="1" customWidth="1"/>
    <col min="16" max="16" width="15.109375" customWidth="1"/>
    <col min="17" max="17" width="15.6640625" customWidth="1"/>
  </cols>
  <sheetData>
    <row r="2" spans="2:17" x14ac:dyDescent="0.3">
      <c r="D2" s="1" t="s">
        <v>69</v>
      </c>
      <c r="E2" s="1" t="s">
        <v>70</v>
      </c>
      <c r="F2" s="1" t="s">
        <v>71</v>
      </c>
    </row>
    <row r="3" spans="2:17" ht="18.600000000000001" thickBot="1" x14ac:dyDescent="0.35">
      <c r="B3" s="2" t="s">
        <v>0</v>
      </c>
      <c r="C3" s="2"/>
      <c r="D3" s="2"/>
      <c r="E3" s="2"/>
      <c r="F3" s="2"/>
      <c r="G3" s="2"/>
      <c r="H3" s="2"/>
      <c r="I3" s="2"/>
    </row>
    <row r="5" spans="2:17" ht="18.600000000000001" thickBot="1" x14ac:dyDescent="0.35">
      <c r="B5" s="2" t="s">
        <v>1</v>
      </c>
      <c r="C5" s="2"/>
      <c r="D5" s="2"/>
      <c r="E5" s="2"/>
      <c r="F5" s="2"/>
      <c r="G5" s="2"/>
      <c r="H5" s="2"/>
      <c r="I5" s="2"/>
    </row>
    <row r="8" spans="2:17" ht="72" x14ac:dyDescent="0.3">
      <c r="B8" s="6" t="s">
        <v>2</v>
      </c>
      <c r="C8" s="6" t="s">
        <v>3</v>
      </c>
      <c r="D8" s="6" t="s">
        <v>4</v>
      </c>
      <c r="E8" s="6" t="s">
        <v>5</v>
      </c>
      <c r="F8" s="6" t="s">
        <v>6</v>
      </c>
      <c r="G8" s="6" t="s">
        <v>7</v>
      </c>
      <c r="H8" s="6" t="s">
        <v>8</v>
      </c>
      <c r="I8" s="6"/>
    </row>
    <row r="9" spans="2:17" ht="24" x14ac:dyDescent="0.3">
      <c r="B9" s="7">
        <v>2455301166</v>
      </c>
      <c r="C9" s="8" t="s">
        <v>39</v>
      </c>
      <c r="D9" s="7">
        <v>89</v>
      </c>
      <c r="E9" s="7">
        <v>90</v>
      </c>
      <c r="F9" s="7">
        <v>94</v>
      </c>
      <c r="G9" s="9">
        <f>SUM(D9:F9)/3</f>
        <v>91</v>
      </c>
      <c r="H9" s="7" t="str">
        <f>IF(G9&gt;=81, "A", IF(G9&gt;=76, "AB", IF(G9&gt;=66, "B", IF(G9&gt;=61, "BC", IF(G9&gt;=51, "C", "F")))))</f>
        <v>A</v>
      </c>
      <c r="I9" s="10"/>
    </row>
    <row r="10" spans="2:17" ht="20.399999999999999" x14ac:dyDescent="0.3">
      <c r="B10" s="7">
        <v>120001</v>
      </c>
      <c r="C10" s="8" t="s">
        <v>9</v>
      </c>
      <c r="D10" s="7">
        <v>85</v>
      </c>
      <c r="E10" s="7">
        <v>78</v>
      </c>
      <c r="F10" s="7">
        <v>90</v>
      </c>
      <c r="G10" s="9">
        <f>SUM(D10:F10)/3</f>
        <v>84.333333333333329</v>
      </c>
      <c r="H10" s="7" t="str">
        <f t="shared" ref="H10:H39" si="0">IF(G10&gt;=81, "A", IF(G10&gt;=76, "AB", IF(G10&gt;=66, "B", IF(G10&gt;=61, "BC", IF(G10&gt;=51, "C", "F")))))</f>
        <v>A</v>
      </c>
      <c r="I10" s="9"/>
    </row>
    <row r="11" spans="2:17" ht="20.399999999999999" x14ac:dyDescent="0.3">
      <c r="B11" s="7">
        <v>120005</v>
      </c>
      <c r="C11" s="8" t="s">
        <v>10</v>
      </c>
      <c r="D11" s="7">
        <v>92</v>
      </c>
      <c r="E11" s="7">
        <v>88</v>
      </c>
      <c r="F11" s="7">
        <v>94</v>
      </c>
      <c r="G11" s="9">
        <f>SUM(D11:F11)/3</f>
        <v>91.333333333333329</v>
      </c>
      <c r="H11" s="7" t="str">
        <f t="shared" si="0"/>
        <v>A</v>
      </c>
      <c r="I11" s="9"/>
    </row>
    <row r="12" spans="2:17" ht="20.399999999999999" x14ac:dyDescent="0.3">
      <c r="B12" s="7">
        <v>120017</v>
      </c>
      <c r="C12" s="8" t="s">
        <v>11</v>
      </c>
      <c r="D12" s="7">
        <v>48</v>
      </c>
      <c r="E12" s="7">
        <v>65</v>
      </c>
      <c r="F12" s="7">
        <v>56</v>
      </c>
      <c r="G12" s="9">
        <f t="shared" ref="G12:G39" si="1">SUM(D12:F12)/3</f>
        <v>56.333333333333336</v>
      </c>
      <c r="H12" s="7" t="str">
        <f t="shared" si="0"/>
        <v>C</v>
      </c>
      <c r="I12" s="9"/>
    </row>
    <row r="13" spans="2:17" ht="20.399999999999999" x14ac:dyDescent="0.3">
      <c r="B13" s="7">
        <v>120018</v>
      </c>
      <c r="C13" s="8" t="s">
        <v>12</v>
      </c>
      <c r="D13" s="7">
        <v>90</v>
      </c>
      <c r="E13" s="7">
        <v>85</v>
      </c>
      <c r="F13" s="7">
        <v>88</v>
      </c>
      <c r="G13" s="9">
        <f t="shared" si="1"/>
        <v>87.666666666666671</v>
      </c>
      <c r="H13" s="7" t="str">
        <f>IF(G13&gt;=81, "A", IF(G13&gt;=76, "AB", IF(G13&gt;=66, "B", IF(G13&gt;=61, "BC", IF(G13&gt;=51, "C", "F")))))</f>
        <v>A</v>
      </c>
      <c r="I13" s="9"/>
      <c r="M13" s="12" t="s">
        <v>40</v>
      </c>
      <c r="N13" s="12"/>
      <c r="O13" s="12" t="s">
        <v>8</v>
      </c>
      <c r="P13" s="12" t="s">
        <v>41</v>
      </c>
      <c r="Q13" s="12" t="s">
        <v>42</v>
      </c>
    </row>
    <row r="14" spans="2:17" ht="20.399999999999999" x14ac:dyDescent="0.3">
      <c r="B14" s="7">
        <v>120022</v>
      </c>
      <c r="C14" s="8" t="s">
        <v>13</v>
      </c>
      <c r="D14" s="7">
        <v>75</v>
      </c>
      <c r="E14" s="7">
        <v>80</v>
      </c>
      <c r="F14" s="7">
        <v>77</v>
      </c>
      <c r="G14" s="9">
        <f t="shared" si="1"/>
        <v>77.333333333333329</v>
      </c>
      <c r="H14" s="7" t="str">
        <f t="shared" si="0"/>
        <v>AB</v>
      </c>
      <c r="I14" s="9"/>
      <c r="M14" s="13"/>
      <c r="N14" s="13"/>
      <c r="O14" s="13"/>
      <c r="P14" s="13"/>
      <c r="Q14" s="13"/>
    </row>
    <row r="15" spans="2:17" ht="20.399999999999999" x14ac:dyDescent="0.7">
      <c r="B15" s="7">
        <v>120024</v>
      </c>
      <c r="C15" s="8" t="s">
        <v>14</v>
      </c>
      <c r="D15" s="7">
        <v>88</v>
      </c>
      <c r="E15" s="7">
        <v>70</v>
      </c>
      <c r="F15" s="7">
        <v>65</v>
      </c>
      <c r="G15" s="9">
        <f t="shared" si="1"/>
        <v>74.333333333333329</v>
      </c>
      <c r="H15" s="7" t="str">
        <f t="shared" si="0"/>
        <v>B</v>
      </c>
      <c r="I15" s="9"/>
      <c r="M15" s="4"/>
      <c r="N15" s="4"/>
      <c r="O15" s="4"/>
      <c r="P15" s="4"/>
      <c r="Q15" s="4"/>
    </row>
    <row r="16" spans="2:17" ht="20.399999999999999" x14ac:dyDescent="0.7">
      <c r="B16" s="7">
        <v>120025</v>
      </c>
      <c r="C16" s="8" t="s">
        <v>15</v>
      </c>
      <c r="D16" s="7">
        <v>75</v>
      </c>
      <c r="E16" s="7">
        <v>70</v>
      </c>
      <c r="F16" s="7">
        <v>75</v>
      </c>
      <c r="G16" s="9">
        <f t="shared" si="1"/>
        <v>73.333333333333329</v>
      </c>
      <c r="H16" s="7" t="str">
        <f t="shared" si="0"/>
        <v>B</v>
      </c>
      <c r="I16" s="9"/>
      <c r="M16" s="4" t="s">
        <v>43</v>
      </c>
      <c r="N16" s="4">
        <v>0</v>
      </c>
      <c r="O16" s="4" t="s">
        <v>44</v>
      </c>
      <c r="P16" s="4">
        <f>COUNTIFS($G$10:$G$40, "&gt;=0", $G$10:$G$40, "&lt;=50")</f>
        <v>1</v>
      </c>
      <c r="Q16" s="5">
        <f>P16 / SUM($P$15:$P$20)</f>
        <v>6.25E-2</v>
      </c>
    </row>
    <row r="17" spans="2:17" ht="20.399999999999999" x14ac:dyDescent="0.7">
      <c r="B17" s="7">
        <v>120027</v>
      </c>
      <c r="C17" s="8" t="s">
        <v>16</v>
      </c>
      <c r="D17" s="7">
        <v>95</v>
      </c>
      <c r="E17" s="7">
        <v>91</v>
      </c>
      <c r="F17" s="7">
        <v>96</v>
      </c>
      <c r="G17" s="9">
        <f t="shared" si="1"/>
        <v>94</v>
      </c>
      <c r="H17" s="7" t="str">
        <f t="shared" si="0"/>
        <v>A</v>
      </c>
      <c r="I17" s="9"/>
      <c r="M17" s="4" t="s">
        <v>45</v>
      </c>
      <c r="N17" s="4">
        <v>51</v>
      </c>
      <c r="O17" s="4" t="s">
        <v>46</v>
      </c>
      <c r="P17" s="4">
        <f>COUNTIFS($G$10:$G$40, "&gt;=51", $G$10:$G$40, "&lt;=60")</f>
        <v>5</v>
      </c>
      <c r="Q17" s="5">
        <f t="shared" ref="Q17:Q21" si="2">P17 / SUM($P$15:$P$20)</f>
        <v>0.3125</v>
      </c>
    </row>
    <row r="18" spans="2:17" ht="20.399999999999999" x14ac:dyDescent="0.7">
      <c r="B18" s="7">
        <v>120034</v>
      </c>
      <c r="C18" s="8" t="s">
        <v>17</v>
      </c>
      <c r="D18" s="7">
        <v>79</v>
      </c>
      <c r="E18" s="7">
        <v>84</v>
      </c>
      <c r="F18" s="7">
        <v>78</v>
      </c>
      <c r="G18" s="9">
        <f t="shared" si="1"/>
        <v>80.333333333333329</v>
      </c>
      <c r="H18" s="7" t="str">
        <f t="shared" si="0"/>
        <v>AB</v>
      </c>
      <c r="I18" s="9"/>
      <c r="M18" s="4" t="s">
        <v>47</v>
      </c>
      <c r="N18" s="4">
        <v>61</v>
      </c>
      <c r="O18" s="4" t="s">
        <v>48</v>
      </c>
      <c r="P18" s="4">
        <f>COUNTIFS($G$10:$G$40, "&gt;=61", $G$10:$G$40, "&lt;=65")</f>
        <v>1</v>
      </c>
      <c r="Q18" s="5">
        <f t="shared" si="2"/>
        <v>6.25E-2</v>
      </c>
    </row>
    <row r="19" spans="2:17" ht="20.399999999999999" x14ac:dyDescent="0.7">
      <c r="B19" s="7">
        <v>120035</v>
      </c>
      <c r="C19" s="8" t="s">
        <v>18</v>
      </c>
      <c r="D19" s="7">
        <v>42</v>
      </c>
      <c r="E19" s="7">
        <v>48</v>
      </c>
      <c r="F19" s="7">
        <v>63</v>
      </c>
      <c r="G19" s="9">
        <f t="shared" si="1"/>
        <v>51</v>
      </c>
      <c r="H19" s="7" t="str">
        <f t="shared" si="0"/>
        <v>C</v>
      </c>
      <c r="I19" s="9"/>
      <c r="M19" s="4" t="s">
        <v>49</v>
      </c>
      <c r="N19" s="4">
        <v>66</v>
      </c>
      <c r="O19" s="4" t="s">
        <v>50</v>
      </c>
      <c r="P19" s="4">
        <f>COUNTIFS($G$10:$G$40, "&gt;=66", $G$10:$G$40, "&lt;=75")</f>
        <v>4</v>
      </c>
      <c r="Q19" s="5">
        <f t="shared" si="2"/>
        <v>0.25</v>
      </c>
    </row>
    <row r="20" spans="2:17" ht="20.399999999999999" x14ac:dyDescent="0.7">
      <c r="B20" s="7">
        <v>120036</v>
      </c>
      <c r="C20" s="8" t="s">
        <v>19</v>
      </c>
      <c r="D20" s="7">
        <v>53</v>
      </c>
      <c r="E20" s="7">
        <v>64</v>
      </c>
      <c r="F20" s="7">
        <v>59</v>
      </c>
      <c r="G20" s="9">
        <f t="shared" si="1"/>
        <v>58.666666666666664</v>
      </c>
      <c r="H20" s="7" t="str">
        <f t="shared" si="0"/>
        <v>C</v>
      </c>
      <c r="I20" s="9"/>
      <c r="M20" s="4" t="s">
        <v>51</v>
      </c>
      <c r="N20" s="4">
        <v>76</v>
      </c>
      <c r="O20" s="4" t="s">
        <v>52</v>
      </c>
      <c r="P20" s="4">
        <f>COUNTIFS($G$10:$G$40, "&gt;=76", $G$10:$G$40, "&lt;=80")</f>
        <v>5</v>
      </c>
      <c r="Q20" s="5">
        <f t="shared" si="2"/>
        <v>0.3125</v>
      </c>
    </row>
    <row r="21" spans="2:17" ht="20.399999999999999" x14ac:dyDescent="0.7">
      <c r="B21" s="7">
        <v>120038</v>
      </c>
      <c r="C21" s="8" t="s">
        <v>20</v>
      </c>
      <c r="D21" s="7">
        <v>91</v>
      </c>
      <c r="E21" s="7">
        <v>95</v>
      </c>
      <c r="F21" s="7">
        <v>90</v>
      </c>
      <c r="G21" s="9">
        <f t="shared" si="1"/>
        <v>92</v>
      </c>
      <c r="H21" s="7" t="str">
        <f t="shared" si="0"/>
        <v>A</v>
      </c>
      <c r="I21" s="9"/>
      <c r="M21" s="4" t="s">
        <v>53</v>
      </c>
      <c r="N21" s="4">
        <v>81</v>
      </c>
      <c r="O21" s="4" t="s">
        <v>54</v>
      </c>
      <c r="P21" s="4">
        <f>COUNTIFS($G$10:$G$40, "&gt;=81", $G$10:$G$40, "&lt;=100")</f>
        <v>12</v>
      </c>
      <c r="Q21" s="5">
        <f t="shared" si="2"/>
        <v>0.75</v>
      </c>
    </row>
    <row r="22" spans="2:17" ht="20.399999999999999" x14ac:dyDescent="0.7">
      <c r="B22" s="7">
        <v>120039</v>
      </c>
      <c r="C22" s="8" t="s">
        <v>21</v>
      </c>
      <c r="D22" s="7">
        <v>76</v>
      </c>
      <c r="E22" s="7">
        <v>81</v>
      </c>
      <c r="F22" s="7">
        <v>75</v>
      </c>
      <c r="G22" s="9">
        <f t="shared" si="1"/>
        <v>77.333333333333329</v>
      </c>
      <c r="H22" s="7" t="str">
        <f t="shared" si="0"/>
        <v>AB</v>
      </c>
      <c r="I22" s="9"/>
      <c r="M22" s="3"/>
      <c r="N22" s="3"/>
      <c r="O22" s="3"/>
      <c r="P22" s="3"/>
      <c r="Q22" s="3"/>
    </row>
    <row r="23" spans="2:17" ht="20.399999999999999" x14ac:dyDescent="0.3">
      <c r="B23" s="7">
        <v>120046</v>
      </c>
      <c r="C23" s="8" t="s">
        <v>22</v>
      </c>
      <c r="D23" s="7">
        <v>89</v>
      </c>
      <c r="E23" s="7">
        <v>93</v>
      </c>
      <c r="F23" s="7">
        <v>88</v>
      </c>
      <c r="G23" s="9">
        <f t="shared" si="1"/>
        <v>90</v>
      </c>
      <c r="H23" s="7" t="str">
        <f t="shared" si="0"/>
        <v>A</v>
      </c>
      <c r="I23" s="9"/>
    </row>
    <row r="24" spans="2:17" ht="20.399999999999999" x14ac:dyDescent="0.3">
      <c r="B24" s="7">
        <v>120047</v>
      </c>
      <c r="C24" s="8" t="s">
        <v>23</v>
      </c>
      <c r="D24" s="7">
        <v>80</v>
      </c>
      <c r="E24" s="7">
        <v>85</v>
      </c>
      <c r="F24" s="7">
        <v>79</v>
      </c>
      <c r="G24" s="9">
        <f t="shared" si="1"/>
        <v>81.333333333333329</v>
      </c>
      <c r="H24" s="7" t="str">
        <f t="shared" si="0"/>
        <v>A</v>
      </c>
      <c r="I24" s="9"/>
    </row>
    <row r="25" spans="2:17" ht="20.399999999999999" x14ac:dyDescent="0.3">
      <c r="B25" s="7">
        <v>120049</v>
      </c>
      <c r="C25" s="8" t="s">
        <v>24</v>
      </c>
      <c r="D25" s="7">
        <v>94</v>
      </c>
      <c r="E25" s="7">
        <v>90</v>
      </c>
      <c r="F25" s="7">
        <v>95</v>
      </c>
      <c r="G25" s="9">
        <f t="shared" si="1"/>
        <v>93</v>
      </c>
      <c r="H25" s="7" t="str">
        <f t="shared" si="0"/>
        <v>A</v>
      </c>
      <c r="I25" s="9"/>
    </row>
    <row r="26" spans="2:17" ht="20.399999999999999" x14ac:dyDescent="0.3">
      <c r="B26" s="7">
        <v>120054</v>
      </c>
      <c r="C26" s="8" t="s">
        <v>25</v>
      </c>
      <c r="D26" s="7">
        <v>77</v>
      </c>
      <c r="E26" s="7">
        <v>82</v>
      </c>
      <c r="F26" s="7">
        <v>76</v>
      </c>
      <c r="G26" s="9">
        <f t="shared" si="1"/>
        <v>78.333333333333329</v>
      </c>
      <c r="H26" s="7" t="str">
        <f t="shared" si="0"/>
        <v>AB</v>
      </c>
      <c r="I26" s="9"/>
    </row>
    <row r="27" spans="2:17" ht="20.399999999999999" x14ac:dyDescent="0.3">
      <c r="B27" s="7">
        <v>120060</v>
      </c>
      <c r="C27" s="8" t="s">
        <v>26</v>
      </c>
      <c r="D27" s="7">
        <v>86</v>
      </c>
      <c r="E27" s="7">
        <v>89</v>
      </c>
      <c r="F27" s="7">
        <v>84</v>
      </c>
      <c r="G27" s="9">
        <f t="shared" si="1"/>
        <v>86.333333333333329</v>
      </c>
      <c r="H27" s="7" t="str">
        <f t="shared" si="0"/>
        <v>A</v>
      </c>
      <c r="I27" s="9"/>
    </row>
    <row r="28" spans="2:17" ht="20.399999999999999" x14ac:dyDescent="0.3">
      <c r="B28" s="7">
        <v>120063</v>
      </c>
      <c r="C28" s="8" t="s">
        <v>27</v>
      </c>
      <c r="D28" s="7">
        <v>92</v>
      </c>
      <c r="E28" s="7">
        <v>88</v>
      </c>
      <c r="F28" s="7">
        <v>93</v>
      </c>
      <c r="G28" s="9">
        <f t="shared" si="1"/>
        <v>91</v>
      </c>
      <c r="H28" s="7" t="str">
        <f t="shared" si="0"/>
        <v>A</v>
      </c>
      <c r="I28" s="9"/>
    </row>
    <row r="29" spans="2:17" ht="20.399999999999999" x14ac:dyDescent="0.3">
      <c r="B29" s="7">
        <v>120070</v>
      </c>
      <c r="C29" s="8" t="s">
        <v>28</v>
      </c>
      <c r="D29" s="7">
        <v>78</v>
      </c>
      <c r="E29" s="7">
        <v>83</v>
      </c>
      <c r="F29" s="7">
        <v>77</v>
      </c>
      <c r="G29" s="9">
        <f t="shared" si="1"/>
        <v>79.333333333333329</v>
      </c>
      <c r="H29" s="7" t="str">
        <f t="shared" si="0"/>
        <v>AB</v>
      </c>
      <c r="I29" s="9"/>
    </row>
    <row r="30" spans="2:17" ht="20.399999999999999" x14ac:dyDescent="0.3">
      <c r="B30" s="7">
        <v>120071</v>
      </c>
      <c r="C30" s="8" t="s">
        <v>29</v>
      </c>
      <c r="D30" s="7">
        <v>41</v>
      </c>
      <c r="E30" s="7">
        <v>53</v>
      </c>
      <c r="F30" s="7">
        <v>44</v>
      </c>
      <c r="G30" s="9">
        <f t="shared" si="1"/>
        <v>46</v>
      </c>
      <c r="H30" s="7" t="str">
        <f t="shared" si="0"/>
        <v>F</v>
      </c>
      <c r="I30" s="9"/>
    </row>
    <row r="31" spans="2:17" ht="20.399999999999999" x14ac:dyDescent="0.3">
      <c r="B31" s="7">
        <v>120073</v>
      </c>
      <c r="C31" s="8" t="s">
        <v>30</v>
      </c>
      <c r="D31" s="7">
        <v>68</v>
      </c>
      <c r="E31" s="7">
        <v>49</v>
      </c>
      <c r="F31" s="7">
        <v>54</v>
      </c>
      <c r="G31" s="9">
        <f t="shared" si="1"/>
        <v>57</v>
      </c>
      <c r="H31" s="7" t="str">
        <f t="shared" si="0"/>
        <v>C</v>
      </c>
      <c r="I31" s="9"/>
    </row>
    <row r="32" spans="2:17" ht="20.399999999999999" x14ac:dyDescent="0.3">
      <c r="B32" s="7">
        <v>120082</v>
      </c>
      <c r="C32" s="8" t="s">
        <v>31</v>
      </c>
      <c r="D32" s="7">
        <v>81</v>
      </c>
      <c r="E32" s="7">
        <v>87</v>
      </c>
      <c r="F32" s="7">
        <v>80</v>
      </c>
      <c r="G32" s="9">
        <f t="shared" si="1"/>
        <v>82.666666666666671</v>
      </c>
      <c r="H32" s="7" t="str">
        <f t="shared" si="0"/>
        <v>A</v>
      </c>
      <c r="I32" s="9"/>
    </row>
    <row r="33" spans="2:9" ht="20.399999999999999" x14ac:dyDescent="0.3">
      <c r="B33" s="7">
        <v>120083</v>
      </c>
      <c r="C33" s="8" t="s">
        <v>32</v>
      </c>
      <c r="D33" s="7">
        <v>87</v>
      </c>
      <c r="E33" s="7">
        <v>90</v>
      </c>
      <c r="F33" s="7">
        <v>85</v>
      </c>
      <c r="G33" s="9">
        <f t="shared" si="1"/>
        <v>87.333333333333329</v>
      </c>
      <c r="H33" s="7" t="str">
        <f t="shared" si="0"/>
        <v>A</v>
      </c>
      <c r="I33" s="9"/>
    </row>
    <row r="34" spans="2:9" ht="20.399999999999999" x14ac:dyDescent="0.3">
      <c r="B34" s="7">
        <v>120088</v>
      </c>
      <c r="C34" s="8" t="s">
        <v>33</v>
      </c>
      <c r="D34" s="7">
        <v>79</v>
      </c>
      <c r="E34" s="7">
        <v>84</v>
      </c>
      <c r="F34" s="7">
        <v>78</v>
      </c>
      <c r="G34" s="9">
        <f t="shared" si="1"/>
        <v>80.333333333333329</v>
      </c>
      <c r="H34" s="7" t="str">
        <f t="shared" si="0"/>
        <v>AB</v>
      </c>
      <c r="I34" s="9"/>
    </row>
    <row r="35" spans="2:9" ht="20.399999999999999" x14ac:dyDescent="0.3">
      <c r="B35" s="7">
        <v>120090</v>
      </c>
      <c r="C35" s="8" t="s">
        <v>34</v>
      </c>
      <c r="D35" s="7">
        <v>70</v>
      </c>
      <c r="E35" s="7">
        <v>77</v>
      </c>
      <c r="F35" s="7">
        <v>64</v>
      </c>
      <c r="G35" s="9">
        <f t="shared" si="1"/>
        <v>70.333333333333329</v>
      </c>
      <c r="H35" s="7" t="str">
        <f t="shared" si="0"/>
        <v>B</v>
      </c>
      <c r="I35" s="9"/>
    </row>
    <row r="36" spans="2:9" ht="20.399999999999999" x14ac:dyDescent="0.3">
      <c r="B36" s="7">
        <v>120093</v>
      </c>
      <c r="C36" s="8" t="s">
        <v>35</v>
      </c>
      <c r="D36" s="7">
        <v>67</v>
      </c>
      <c r="E36" s="7">
        <v>54</v>
      </c>
      <c r="F36" s="7">
        <v>54</v>
      </c>
      <c r="G36" s="9">
        <f t="shared" si="1"/>
        <v>58.333333333333336</v>
      </c>
      <c r="H36" s="7" t="str">
        <f t="shared" si="0"/>
        <v>C</v>
      </c>
      <c r="I36" s="9"/>
    </row>
    <row r="37" spans="2:9" ht="20.399999999999999" x14ac:dyDescent="0.3">
      <c r="B37" s="7">
        <v>120095</v>
      </c>
      <c r="C37" s="8" t="s">
        <v>36</v>
      </c>
      <c r="D37" s="7">
        <v>69</v>
      </c>
      <c r="E37" s="7">
        <v>62</v>
      </c>
      <c r="F37" s="7">
        <v>71</v>
      </c>
      <c r="G37" s="9">
        <f t="shared" si="1"/>
        <v>67.333333333333329</v>
      </c>
      <c r="H37" s="7" t="str">
        <f t="shared" si="0"/>
        <v>B</v>
      </c>
      <c r="I37" s="9"/>
    </row>
    <row r="38" spans="2:9" ht="20.399999999999999" x14ac:dyDescent="0.3">
      <c r="B38" s="7">
        <v>120098</v>
      </c>
      <c r="C38" s="8" t="s">
        <v>37</v>
      </c>
      <c r="D38" s="7">
        <v>76</v>
      </c>
      <c r="E38" s="7">
        <v>81</v>
      </c>
      <c r="F38" s="7">
        <v>75</v>
      </c>
      <c r="G38" s="9">
        <f t="shared" si="1"/>
        <v>77.333333333333329</v>
      </c>
      <c r="H38" s="7" t="str">
        <f t="shared" si="0"/>
        <v>AB</v>
      </c>
      <c r="I38" s="9"/>
    </row>
    <row r="39" spans="2:9" ht="20.399999999999999" x14ac:dyDescent="0.3">
      <c r="B39" s="7">
        <v>120099</v>
      </c>
      <c r="C39" s="8" t="s">
        <v>38</v>
      </c>
      <c r="D39" s="7">
        <v>60</v>
      </c>
      <c r="E39" s="7">
        <v>65</v>
      </c>
      <c r="F39" s="7">
        <v>64</v>
      </c>
      <c r="G39" s="9">
        <f t="shared" si="1"/>
        <v>63</v>
      </c>
      <c r="H39" s="7" t="str">
        <f t="shared" si="0"/>
        <v>BC</v>
      </c>
      <c r="I39" s="9"/>
    </row>
    <row r="45" spans="2:9" x14ac:dyDescent="0.3">
      <c r="E45" s="14" t="s">
        <v>55</v>
      </c>
      <c r="F45" s="15"/>
    </row>
    <row r="46" spans="2:9" x14ac:dyDescent="0.3">
      <c r="E46" s="11"/>
      <c r="F46" s="11"/>
    </row>
    <row r="47" spans="2:9" x14ac:dyDescent="0.3">
      <c r="E47" s="11" t="s">
        <v>56</v>
      </c>
      <c r="F47" s="11">
        <v>76.709677419354833</v>
      </c>
    </row>
    <row r="48" spans="2:9" x14ac:dyDescent="0.3">
      <c r="E48" s="11" t="s">
        <v>57</v>
      </c>
      <c r="F48" s="11">
        <v>2.4272320984227704</v>
      </c>
    </row>
    <row r="49" spans="5:6" x14ac:dyDescent="0.3">
      <c r="E49" s="11" t="s">
        <v>58</v>
      </c>
      <c r="F49" s="11">
        <v>79.333333333333329</v>
      </c>
    </row>
    <row r="50" spans="5:6" x14ac:dyDescent="0.3">
      <c r="E50" s="11" t="s">
        <v>59</v>
      </c>
      <c r="F50" s="11">
        <v>77.333333333333329</v>
      </c>
    </row>
    <row r="51" spans="5:6" x14ac:dyDescent="0.3">
      <c r="E51" s="11" t="s">
        <v>60</v>
      </c>
      <c r="F51" s="11">
        <v>13.514256377915434</v>
      </c>
    </row>
    <row r="52" spans="5:6" x14ac:dyDescent="0.3">
      <c r="E52" s="11" t="s">
        <v>61</v>
      </c>
      <c r="F52" s="11">
        <v>182.63512544802796</v>
      </c>
    </row>
    <row r="53" spans="5:6" x14ac:dyDescent="0.3">
      <c r="E53" s="11" t="s">
        <v>62</v>
      </c>
      <c r="F53" s="11">
        <v>-0.47988974935230821</v>
      </c>
    </row>
    <row r="54" spans="5:6" x14ac:dyDescent="0.3">
      <c r="E54" s="11" t="s">
        <v>63</v>
      </c>
      <c r="F54" s="11">
        <v>-0.71040670129287986</v>
      </c>
    </row>
    <row r="55" spans="5:6" x14ac:dyDescent="0.3">
      <c r="E55" s="11" t="s">
        <v>64</v>
      </c>
      <c r="F55" s="11">
        <v>48</v>
      </c>
    </row>
    <row r="56" spans="5:6" x14ac:dyDescent="0.3">
      <c r="E56" s="11" t="s">
        <v>65</v>
      </c>
      <c r="F56" s="11">
        <v>46</v>
      </c>
    </row>
    <row r="57" spans="5:6" x14ac:dyDescent="0.3">
      <c r="E57" s="11" t="s">
        <v>66</v>
      </c>
      <c r="F57" s="11">
        <v>94</v>
      </c>
    </row>
    <row r="58" spans="5:6" x14ac:dyDescent="0.3">
      <c r="E58" s="11" t="s">
        <v>67</v>
      </c>
      <c r="F58" s="11">
        <v>2378</v>
      </c>
    </row>
    <row r="59" spans="5:6" x14ac:dyDescent="0.3">
      <c r="E59" s="11" t="s">
        <v>68</v>
      </c>
      <c r="F59" s="11">
        <v>31</v>
      </c>
    </row>
  </sheetData>
  <mergeCells count="6">
    <mergeCell ref="E45:F45"/>
    <mergeCell ref="M13:M14"/>
    <mergeCell ref="N13:N14"/>
    <mergeCell ref="O13:O14"/>
    <mergeCell ref="P13:P14"/>
    <mergeCell ref="Q13:Q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 Elviyenti</dc:creator>
  <cp:lastModifiedBy>Reginald Ricky</cp:lastModifiedBy>
  <dcterms:created xsi:type="dcterms:W3CDTF">2026-09-15T00:47:47Z</dcterms:created>
  <dcterms:modified xsi:type="dcterms:W3CDTF">2026-09-22T04:47:40Z</dcterms:modified>
</cp:coreProperties>
</file>